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rolina\aguas\peoywcto confeccion y marketing\"/>
    </mc:Choice>
  </mc:AlternateContent>
  <xr:revisionPtr revIDLastSave="0" documentId="8_{367A40B8-D8E6-4BE0-AEED-F9FF44D7C4DD}" xr6:coauthVersionLast="47" xr6:coauthVersionMax="47" xr10:uidLastSave="{00000000-0000-0000-0000-000000000000}"/>
  <bookViews>
    <workbookView xWindow="-120" yWindow="-120" windowWidth="20730" windowHeight="11040" xr2:uid="{6C22213D-C16E-48A1-92DF-57280ADB3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2" i="1"/>
  <c r="A21" i="1"/>
  <c r="A20" i="1"/>
  <c r="E26" i="1"/>
  <c r="E32" i="1" s="1"/>
  <c r="E27" i="1"/>
  <c r="E28" i="1"/>
  <c r="E29" i="1"/>
  <c r="E30" i="1"/>
  <c r="E31" i="1"/>
  <c r="E35" i="1"/>
  <c r="E36" i="1"/>
  <c r="E37" i="1"/>
  <c r="E38" i="1"/>
  <c r="C42" i="1" s="1"/>
  <c r="E39" i="1"/>
  <c r="E40" i="1"/>
  <c r="E41" i="1"/>
  <c r="E21" i="1"/>
  <c r="E12" i="1"/>
  <c r="E13" i="1"/>
  <c r="E14" i="1"/>
  <c r="E15" i="1"/>
  <c r="E16" i="1"/>
  <c r="E17" i="1"/>
  <c r="A16" i="1"/>
  <c r="A17" i="1"/>
  <c r="E20" i="1"/>
  <c r="C23" i="1" s="1"/>
  <c r="E25" i="1"/>
  <c r="E34" i="1"/>
  <c r="E11" i="1"/>
  <c r="A12" i="1"/>
  <c r="A13" i="1" s="1"/>
  <c r="A14" i="1" s="1"/>
  <c r="A15" i="1" s="1"/>
  <c r="A26" i="1" l="1"/>
  <c r="A27" i="1" s="1"/>
  <c r="A28" i="1" s="1"/>
  <c r="A29" i="1" s="1"/>
  <c r="A30" i="1" s="1"/>
  <c r="A31" i="1" s="1"/>
  <c r="E43" i="1"/>
  <c r="C18" i="1"/>
  <c r="A34" i="1"/>
  <c r="A35" i="1" s="1"/>
  <c r="A36" i="1" s="1"/>
  <c r="A37" i="1" s="1"/>
  <c r="A38" i="1" s="1"/>
  <c r="A39" i="1" s="1"/>
  <c r="A40" i="1" s="1"/>
  <c r="A41" i="1" s="1"/>
</calcChain>
</file>

<file path=xl/sharedStrings.xml><?xml version="1.0" encoding="utf-8"?>
<sst xmlns="http://schemas.openxmlformats.org/spreadsheetml/2006/main" count="35" uniqueCount="35">
  <si>
    <t>EVENTO DE CIERRE</t>
  </si>
  <si>
    <t>ITEM</t>
  </si>
  <si>
    <t>CONCEPTO</t>
  </si>
  <si>
    <t>CANTIDAD</t>
  </si>
  <si>
    <t>COSTO UNITARIO</t>
  </si>
  <si>
    <t>COSTO TOTAL</t>
  </si>
  <si>
    <t>Presupuesto</t>
  </si>
  <si>
    <t>PROGRAMA:         Creando y Conectando</t>
  </si>
  <si>
    <t>FECHA:                    12 de Diciembre 2025</t>
  </si>
  <si>
    <t>Lugar</t>
  </si>
  <si>
    <t>Pantalla</t>
  </si>
  <si>
    <t>Tablones</t>
  </si>
  <si>
    <t>Mantel</t>
  </si>
  <si>
    <t>Arreglos</t>
  </si>
  <si>
    <t>Tarjetas invitación</t>
  </si>
  <si>
    <t>Telas</t>
  </si>
  <si>
    <t>Refrigerios</t>
  </si>
  <si>
    <t xml:space="preserve">              LUGAR</t>
  </si>
  <si>
    <t xml:space="preserve">             TOTAL   LUGAR</t>
  </si>
  <si>
    <t xml:space="preserve">              PUBLICIDAD Y COMUNICACIONES</t>
  </si>
  <si>
    <t xml:space="preserve">              TOTAL PUBLICIDAD Y COMUNICACIONES</t>
  </si>
  <si>
    <t xml:space="preserve">              INSUMOS PARA EXPOSICION</t>
  </si>
  <si>
    <t>Ganchos</t>
  </si>
  <si>
    <t>Utensilios</t>
  </si>
  <si>
    <t xml:space="preserve">              TOTAL INSUMOS PARA EXPOSICION</t>
  </si>
  <si>
    <t xml:space="preserve">             LOGISTICA</t>
  </si>
  <si>
    <t>Sonido</t>
  </si>
  <si>
    <t>Decoración</t>
  </si>
  <si>
    <t>Logos</t>
  </si>
  <si>
    <t>Agua</t>
  </si>
  <si>
    <t>Mani</t>
  </si>
  <si>
    <t>Coquitas</t>
  </si>
  <si>
    <t>microfonos</t>
  </si>
  <si>
    <t xml:space="preserve">             TOTAL </t>
  </si>
  <si>
    <t xml:space="preserve">              TOTA  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</si>
</sst>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6" formatCode="&quot;$&quot;#,##0"/>
    <numFmt numFmtId="168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0.5"/>
      <color theme="1"/>
      <name val="Roboto"/>
    </font>
    <font>
      <sz val="10.5"/>
      <color theme="1"/>
      <name val="Roboto"/>
    </font>
    <font>
      <b/>
      <i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vertical="center" wrapText="1"/>
    </xf>
    <xf numFmtId="166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right"/>
    </xf>
    <xf numFmtId="168" fontId="3" fillId="2" borderId="1" xfId="1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68" fontId="2" fillId="2" borderId="1" xfId="0" applyNumberFormat="1" applyFont="1" applyFill="1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C26E-B4EB-4034-B704-49340B74C5EF}">
  <dimension ref="A3:E53"/>
  <sheetViews>
    <sheetView tabSelected="1" zoomScale="102" zoomScaleNormal="102" workbookViewId="0">
      <selection activeCell="B11" sqref="B11"/>
    </sheetView>
  </sheetViews>
  <sheetFormatPr baseColWidth="10" defaultRowHeight="15" x14ac:dyDescent="0.25"/>
  <cols>
    <col min="1" max="1" width="6.5703125" customWidth="1"/>
    <col min="2" max="2" width="38.28515625" customWidth="1"/>
    <col min="3" max="3" width="11.42578125" style="1"/>
    <col min="4" max="5" width="16.42578125" customWidth="1"/>
  </cols>
  <sheetData>
    <row r="3" spans="1:5" x14ac:dyDescent="0.25">
      <c r="A3" s="5" t="s">
        <v>0</v>
      </c>
      <c r="B3" s="6"/>
      <c r="C3" s="6"/>
      <c r="D3" s="6"/>
      <c r="E3" s="7"/>
    </row>
    <row r="4" spans="1:5" x14ac:dyDescent="0.25">
      <c r="A4" s="8" t="s">
        <v>6</v>
      </c>
      <c r="B4" s="9"/>
      <c r="C4" s="9"/>
      <c r="D4" s="9"/>
      <c r="E4" s="10"/>
    </row>
    <row r="5" spans="1:5" ht="5.25" customHeight="1" x14ac:dyDescent="0.25">
      <c r="A5" s="11"/>
      <c r="B5" s="12"/>
      <c r="C5" s="12"/>
      <c r="D5" s="12"/>
      <c r="E5" s="13"/>
    </row>
    <row r="6" spans="1:5" x14ac:dyDescent="0.25">
      <c r="A6" s="14" t="s">
        <v>7</v>
      </c>
      <c r="B6" s="15"/>
      <c r="C6" s="15"/>
      <c r="D6" s="15"/>
      <c r="E6" s="16"/>
    </row>
    <row r="7" spans="1:5" x14ac:dyDescent="0.25">
      <c r="A7" s="17" t="s">
        <v>8</v>
      </c>
      <c r="B7" s="18"/>
      <c r="C7" s="18"/>
      <c r="D7" s="18"/>
      <c r="E7" s="19"/>
    </row>
    <row r="8" spans="1:5" ht="5.25" customHeight="1" x14ac:dyDescent="0.25">
      <c r="A8" s="20"/>
      <c r="B8" s="20"/>
      <c r="C8" s="20"/>
      <c r="D8" s="20"/>
      <c r="E8" s="20"/>
    </row>
    <row r="9" spans="1:5" ht="28.5" customHeight="1" x14ac:dyDescent="0.25">
      <c r="A9" s="21" t="s">
        <v>1</v>
      </c>
      <c r="B9" s="21" t="s">
        <v>2</v>
      </c>
      <c r="C9" s="22" t="s">
        <v>3</v>
      </c>
      <c r="D9" s="21" t="s">
        <v>4</v>
      </c>
      <c r="E9" s="22" t="s">
        <v>5</v>
      </c>
    </row>
    <row r="10" spans="1:5" ht="15" customHeight="1" x14ac:dyDescent="0.25">
      <c r="A10" s="23" t="s">
        <v>17</v>
      </c>
      <c r="B10" s="23"/>
      <c r="C10" s="23"/>
      <c r="D10" s="23"/>
      <c r="E10" s="23"/>
    </row>
    <row r="11" spans="1:5" x14ac:dyDescent="0.25">
      <c r="A11" s="24">
        <v>1</v>
      </c>
      <c r="B11" s="3" t="s">
        <v>9</v>
      </c>
      <c r="C11" s="24">
        <v>1</v>
      </c>
      <c r="D11" s="25">
        <v>100000</v>
      </c>
      <c r="E11" s="25">
        <f>+D11*C11</f>
        <v>100000</v>
      </c>
    </row>
    <row r="12" spans="1:5" x14ac:dyDescent="0.25">
      <c r="A12" s="24">
        <f>+A11+1</f>
        <v>2</v>
      </c>
      <c r="B12" s="3" t="s">
        <v>10</v>
      </c>
      <c r="C12" s="24">
        <v>1</v>
      </c>
      <c r="D12" s="25">
        <v>0</v>
      </c>
      <c r="E12" s="25">
        <f t="shared" ref="E12:E17" si="0">+D12*C12</f>
        <v>0</v>
      </c>
    </row>
    <row r="13" spans="1:5" x14ac:dyDescent="0.25">
      <c r="A13" s="24">
        <f t="shared" ref="A13:A41" si="1">+A12+1</f>
        <v>3</v>
      </c>
      <c r="B13" s="3" t="s">
        <v>11</v>
      </c>
      <c r="C13" s="24">
        <v>1</v>
      </c>
      <c r="D13" s="25">
        <v>0</v>
      </c>
      <c r="E13" s="25">
        <f t="shared" si="0"/>
        <v>0</v>
      </c>
    </row>
    <row r="14" spans="1:5" x14ac:dyDescent="0.25">
      <c r="A14" s="24">
        <f t="shared" si="1"/>
        <v>4</v>
      </c>
      <c r="B14" s="3" t="s">
        <v>12</v>
      </c>
      <c r="C14" s="24">
        <v>1</v>
      </c>
      <c r="D14" s="25">
        <v>0</v>
      </c>
      <c r="E14" s="25">
        <f t="shared" si="0"/>
        <v>0</v>
      </c>
    </row>
    <row r="15" spans="1:5" x14ac:dyDescent="0.25">
      <c r="A15" s="24">
        <f t="shared" si="1"/>
        <v>5</v>
      </c>
      <c r="B15" s="3" t="s">
        <v>13</v>
      </c>
      <c r="C15" s="24">
        <v>1</v>
      </c>
      <c r="D15" s="25">
        <v>40000</v>
      </c>
      <c r="E15" s="25">
        <f t="shared" si="0"/>
        <v>40000</v>
      </c>
    </row>
    <row r="16" spans="1:5" x14ac:dyDescent="0.25">
      <c r="A16" s="24">
        <f t="shared" si="1"/>
        <v>6</v>
      </c>
      <c r="B16" s="3" t="s">
        <v>26</v>
      </c>
      <c r="C16" s="24">
        <v>1</v>
      </c>
      <c r="D16" s="25">
        <v>0</v>
      </c>
      <c r="E16" s="25">
        <f t="shared" si="0"/>
        <v>0</v>
      </c>
    </row>
    <row r="17" spans="1:5" x14ac:dyDescent="0.25">
      <c r="A17" s="24">
        <f t="shared" si="1"/>
        <v>7</v>
      </c>
      <c r="B17" s="3" t="s">
        <v>27</v>
      </c>
      <c r="C17" s="24">
        <v>1</v>
      </c>
      <c r="D17" s="25">
        <v>300000</v>
      </c>
      <c r="E17" s="25">
        <f t="shared" si="0"/>
        <v>300000</v>
      </c>
    </row>
    <row r="18" spans="1:5" x14ac:dyDescent="0.25">
      <c r="A18" s="26" t="s">
        <v>18</v>
      </c>
      <c r="B18" s="26"/>
      <c r="C18" s="27">
        <f>+E11+E12+E13+E14+E15</f>
        <v>140000</v>
      </c>
      <c r="D18" s="27"/>
      <c r="E18" s="27"/>
    </row>
    <row r="19" spans="1:5" ht="15" customHeight="1" x14ac:dyDescent="0.25">
      <c r="A19" s="23" t="s">
        <v>19</v>
      </c>
      <c r="B19" s="23"/>
      <c r="C19" s="23"/>
      <c r="D19" s="23"/>
      <c r="E19" s="23"/>
    </row>
    <row r="20" spans="1:5" x14ac:dyDescent="0.25">
      <c r="A20" s="24">
        <f>+A17+1</f>
        <v>8</v>
      </c>
      <c r="B20" s="3" t="s">
        <v>14</v>
      </c>
      <c r="C20" s="24">
        <v>10</v>
      </c>
      <c r="D20" s="25">
        <v>3000</v>
      </c>
      <c r="E20" s="25">
        <f t="shared" ref="E12:E42" si="2">+D20*C20</f>
        <v>30000</v>
      </c>
    </row>
    <row r="21" spans="1:5" x14ac:dyDescent="0.25">
      <c r="A21" s="24">
        <f>+A20+1</f>
        <v>9</v>
      </c>
      <c r="B21" s="3" t="s">
        <v>28</v>
      </c>
      <c r="C21" s="24">
        <v>5</v>
      </c>
      <c r="D21" s="25">
        <v>16000</v>
      </c>
      <c r="E21" s="25">
        <f>+D21*C21</f>
        <v>80000</v>
      </c>
    </row>
    <row r="22" spans="1:5" x14ac:dyDescent="0.25">
      <c r="A22" s="24">
        <f>+A21+1</f>
        <v>10</v>
      </c>
      <c r="B22" s="3"/>
      <c r="C22" s="24"/>
      <c r="D22" s="25"/>
      <c r="E22" s="25"/>
    </row>
    <row r="23" spans="1:5" x14ac:dyDescent="0.25">
      <c r="A23" s="26" t="s">
        <v>20</v>
      </c>
      <c r="B23" s="26"/>
      <c r="C23" s="27">
        <f>+E20+E21+E22</f>
        <v>110000</v>
      </c>
      <c r="D23" s="27"/>
      <c r="E23" s="27"/>
    </row>
    <row r="24" spans="1:5" ht="15" customHeight="1" x14ac:dyDescent="0.25">
      <c r="A24" s="23" t="s">
        <v>21</v>
      </c>
      <c r="B24" s="23"/>
      <c r="C24" s="23"/>
      <c r="D24" s="23"/>
      <c r="E24" s="23"/>
    </row>
    <row r="25" spans="1:5" x14ac:dyDescent="0.25">
      <c r="A25" s="24">
        <f>+A22+1</f>
        <v>11</v>
      </c>
      <c r="B25" s="3" t="s">
        <v>15</v>
      </c>
      <c r="C25" s="24">
        <v>15</v>
      </c>
      <c r="D25" s="25">
        <v>2500</v>
      </c>
      <c r="E25" s="25">
        <f t="shared" si="2"/>
        <v>37500</v>
      </c>
    </row>
    <row r="26" spans="1:5" x14ac:dyDescent="0.25">
      <c r="A26" s="24">
        <f t="shared" si="1"/>
        <v>12</v>
      </c>
      <c r="B26" s="3" t="s">
        <v>22</v>
      </c>
      <c r="C26" s="24">
        <v>10</v>
      </c>
      <c r="D26" s="25">
        <v>5000</v>
      </c>
      <c r="E26" s="25">
        <f t="shared" si="2"/>
        <v>50000</v>
      </c>
    </row>
    <row r="27" spans="1:5" x14ac:dyDescent="0.25">
      <c r="A27" s="24">
        <f t="shared" si="1"/>
        <v>13</v>
      </c>
      <c r="B27" s="3" t="s">
        <v>23</v>
      </c>
      <c r="C27" s="24"/>
      <c r="D27" s="25"/>
      <c r="E27" s="25">
        <f t="shared" si="2"/>
        <v>0</v>
      </c>
    </row>
    <row r="28" spans="1:5" x14ac:dyDescent="0.25">
      <c r="A28" s="24">
        <f t="shared" si="1"/>
        <v>14</v>
      </c>
      <c r="B28" s="3" t="s">
        <v>32</v>
      </c>
      <c r="C28" s="24">
        <v>1</v>
      </c>
      <c r="D28" s="25">
        <v>150000</v>
      </c>
      <c r="E28" s="25">
        <f t="shared" si="2"/>
        <v>150000</v>
      </c>
    </row>
    <row r="29" spans="1:5" x14ac:dyDescent="0.25">
      <c r="A29" s="24">
        <f t="shared" si="1"/>
        <v>15</v>
      </c>
      <c r="B29" s="3"/>
      <c r="C29" s="24"/>
      <c r="D29" s="25"/>
      <c r="E29" s="25">
        <f t="shared" si="2"/>
        <v>0</v>
      </c>
    </row>
    <row r="30" spans="1:5" x14ac:dyDescent="0.25">
      <c r="A30" s="24">
        <f t="shared" si="1"/>
        <v>16</v>
      </c>
      <c r="B30" s="3"/>
      <c r="C30" s="24"/>
      <c r="D30" s="25"/>
      <c r="E30" s="25">
        <f t="shared" si="2"/>
        <v>0</v>
      </c>
    </row>
    <row r="31" spans="1:5" x14ac:dyDescent="0.25">
      <c r="A31" s="24">
        <f t="shared" si="1"/>
        <v>17</v>
      </c>
      <c r="B31" s="3"/>
      <c r="C31" s="24"/>
      <c r="D31" s="25"/>
      <c r="E31" s="25">
        <f t="shared" si="2"/>
        <v>0</v>
      </c>
    </row>
    <row r="32" spans="1:5" x14ac:dyDescent="0.25">
      <c r="A32" s="26" t="s">
        <v>24</v>
      </c>
      <c r="B32" s="26"/>
      <c r="C32" s="28"/>
      <c r="D32" s="29"/>
      <c r="E32" s="30">
        <f>+E25+E26+E27+E28+E29+E30+E31</f>
        <v>237500</v>
      </c>
    </row>
    <row r="33" spans="1:5" x14ac:dyDescent="0.25">
      <c r="A33" s="23" t="s">
        <v>25</v>
      </c>
      <c r="B33" s="23"/>
      <c r="C33" s="23"/>
      <c r="D33" s="23"/>
      <c r="E33" s="23"/>
    </row>
    <row r="34" spans="1:5" x14ac:dyDescent="0.25">
      <c r="A34" s="24">
        <f>+A31+1</f>
        <v>18</v>
      </c>
      <c r="B34" s="3" t="s">
        <v>16</v>
      </c>
      <c r="C34" s="24">
        <v>50</v>
      </c>
      <c r="D34" s="25">
        <v>5000</v>
      </c>
      <c r="E34" s="25">
        <f t="shared" si="2"/>
        <v>250000</v>
      </c>
    </row>
    <row r="35" spans="1:5" x14ac:dyDescent="0.25">
      <c r="A35" s="24">
        <f t="shared" si="1"/>
        <v>19</v>
      </c>
      <c r="B35" s="3" t="s">
        <v>29</v>
      </c>
      <c r="C35" s="24">
        <v>24</v>
      </c>
      <c r="D35" s="25">
        <v>1000</v>
      </c>
      <c r="E35" s="25">
        <f t="shared" si="2"/>
        <v>24000</v>
      </c>
    </row>
    <row r="36" spans="1:5" x14ac:dyDescent="0.25">
      <c r="A36" s="24">
        <f t="shared" si="1"/>
        <v>20</v>
      </c>
      <c r="B36" s="3" t="s">
        <v>30</v>
      </c>
      <c r="C36" s="24">
        <v>1</v>
      </c>
      <c r="D36" s="3"/>
      <c r="E36" s="25">
        <f t="shared" si="2"/>
        <v>0</v>
      </c>
    </row>
    <row r="37" spans="1:5" x14ac:dyDescent="0.25">
      <c r="A37" s="24">
        <f t="shared" si="1"/>
        <v>21</v>
      </c>
      <c r="B37" s="3" t="s">
        <v>31</v>
      </c>
      <c r="C37" s="24">
        <v>1</v>
      </c>
      <c r="D37" s="3">
        <v>5000</v>
      </c>
      <c r="E37" s="25">
        <f t="shared" si="2"/>
        <v>5000</v>
      </c>
    </row>
    <row r="38" spans="1:5" x14ac:dyDescent="0.25">
      <c r="A38" s="24">
        <f t="shared" si="1"/>
        <v>22</v>
      </c>
      <c r="B38" s="3"/>
      <c r="C38" s="24"/>
      <c r="D38" s="3"/>
      <c r="E38" s="25">
        <f t="shared" si="2"/>
        <v>0</v>
      </c>
    </row>
    <row r="39" spans="1:5" x14ac:dyDescent="0.25">
      <c r="A39" s="24">
        <f t="shared" si="1"/>
        <v>23</v>
      </c>
      <c r="B39" s="3"/>
      <c r="C39" s="24"/>
      <c r="D39" s="3"/>
      <c r="E39" s="25">
        <f t="shared" si="2"/>
        <v>0</v>
      </c>
    </row>
    <row r="40" spans="1:5" x14ac:dyDescent="0.25">
      <c r="A40" s="24">
        <f t="shared" si="1"/>
        <v>24</v>
      </c>
      <c r="B40" s="3"/>
      <c r="C40" s="24"/>
      <c r="D40" s="3"/>
      <c r="E40" s="25">
        <f t="shared" si="2"/>
        <v>0</v>
      </c>
    </row>
    <row r="41" spans="1:5" x14ac:dyDescent="0.25">
      <c r="A41" s="24">
        <f t="shared" si="1"/>
        <v>25</v>
      </c>
      <c r="B41" s="3"/>
      <c r="C41" s="24"/>
      <c r="D41" s="3"/>
      <c r="E41" s="25">
        <f t="shared" si="2"/>
        <v>0</v>
      </c>
    </row>
    <row r="42" spans="1:5" x14ac:dyDescent="0.25">
      <c r="A42" s="26" t="s">
        <v>34</v>
      </c>
      <c r="B42" s="26"/>
      <c r="C42" s="27">
        <f>+E34+E35+E36+E37+E38+E39+E40+E41</f>
        <v>279000</v>
      </c>
      <c r="D42" s="27"/>
      <c r="E42" s="27"/>
    </row>
    <row r="43" spans="1:5" x14ac:dyDescent="0.25">
      <c r="A43" s="31" t="s">
        <v>33</v>
      </c>
      <c r="B43" s="31"/>
      <c r="C43" s="31"/>
      <c r="D43" s="31"/>
      <c r="E43" s="32">
        <f>+C42+E32+C23+C18</f>
        <v>766500</v>
      </c>
    </row>
    <row r="44" spans="1:5" x14ac:dyDescent="0.25">
      <c r="A44" s="2"/>
      <c r="B44" s="2"/>
      <c r="C44" s="4"/>
      <c r="D44" s="2"/>
      <c r="E44" s="2"/>
    </row>
    <row r="45" spans="1:5" x14ac:dyDescent="0.25">
      <c r="A45" s="2"/>
      <c r="B45" s="2"/>
      <c r="C45" s="4"/>
      <c r="D45" s="2"/>
      <c r="E45" s="2"/>
    </row>
    <row r="46" spans="1:5" x14ac:dyDescent="0.25">
      <c r="A46" s="2"/>
      <c r="B46" s="2"/>
      <c r="C46" s="4"/>
      <c r="D46" s="2"/>
      <c r="E46" s="2"/>
    </row>
    <row r="47" spans="1:5" x14ac:dyDescent="0.25">
      <c r="A47" s="2"/>
      <c r="B47" s="2"/>
      <c r="C47" s="4"/>
      <c r="D47" s="2"/>
      <c r="E47" s="2"/>
    </row>
    <row r="48" spans="1:5" x14ac:dyDescent="0.25">
      <c r="A48" s="2"/>
      <c r="B48" s="2"/>
      <c r="C48" s="4"/>
      <c r="D48" s="2"/>
      <c r="E48" s="2"/>
    </row>
    <row r="49" spans="1:5" x14ac:dyDescent="0.25">
      <c r="A49" s="2"/>
      <c r="B49" s="2"/>
      <c r="C49" s="4"/>
      <c r="D49" s="2"/>
      <c r="E49" s="2"/>
    </row>
    <row r="50" spans="1:5" x14ac:dyDescent="0.25">
      <c r="A50" s="2"/>
      <c r="B50" s="2"/>
      <c r="C50" s="4"/>
      <c r="D50" s="2"/>
      <c r="E50" s="2"/>
    </row>
    <row r="51" spans="1:5" x14ac:dyDescent="0.25">
      <c r="A51" s="2"/>
      <c r="B51" s="2"/>
      <c r="C51" s="4"/>
      <c r="D51" s="2"/>
      <c r="E51" s="2"/>
    </row>
    <row r="52" spans="1:5" x14ac:dyDescent="0.25">
      <c r="A52" s="2"/>
      <c r="B52" s="2"/>
      <c r="C52" s="4"/>
      <c r="D52" s="2"/>
      <c r="E52" s="2"/>
    </row>
    <row r="53" spans="1:5" x14ac:dyDescent="0.25">
      <c r="A53" s="2"/>
      <c r="B53" s="2"/>
      <c r="C53" s="4"/>
      <c r="D53" s="2"/>
      <c r="E53" s="2"/>
    </row>
  </sheetData>
  <mergeCells count="18">
    <mergeCell ref="A33:E33"/>
    <mergeCell ref="A32:B32"/>
    <mergeCell ref="A10:E10"/>
    <mergeCell ref="A42:B42"/>
    <mergeCell ref="C42:E42"/>
    <mergeCell ref="A43:D43"/>
    <mergeCell ref="A23:B23"/>
    <mergeCell ref="C18:E18"/>
    <mergeCell ref="A19:E19"/>
    <mergeCell ref="C23:E23"/>
    <mergeCell ref="A24:E24"/>
    <mergeCell ref="A18:B18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Flia. López González</dc:creator>
  <cp:lastModifiedBy>Flia. López González</cp:lastModifiedBy>
  <dcterms:created xsi:type="dcterms:W3CDTF">2025-12-02T13:40:01Z</dcterms:created>
  <dcterms:modified xsi:type="dcterms:W3CDTF">2025-12-02T16:00:37Z</dcterms:modified>
</cp:coreProperties>
</file>